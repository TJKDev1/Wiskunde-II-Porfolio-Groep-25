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haagsehogeschool.sharepoint.com/sites/BachelorAppliedDataScience/Gedeelde documenten/General/1-VOLTIJD/Onderwijsontwikkeling/Semester 2/2. Wiskunde II/2025-2026/"/>
    </mc:Choice>
  </mc:AlternateContent>
  <xr:revisionPtr revIDLastSave="946" documentId="13_ncr:1_{A61D3A48-5744-4810-8172-19018AE2E083}" xr6:coauthVersionLast="47" xr6:coauthVersionMax="47" xr10:uidLastSave="{5B15C36F-9BB5-4957-A90E-9026CEB99F4C}"/>
  <bookViews>
    <workbookView xWindow="28680" yWindow="-4995" windowWidth="29040" windowHeight="15720" xr2:uid="{00000000-000D-0000-FFFF-FFFF00000000}"/>
  </bookViews>
  <sheets>
    <sheet name="Toetsmatrijs" sheetId="3" r:id="rId1"/>
  </sheets>
  <definedNames>
    <definedName name="_xlnm._FilterDatabase" localSheetId="0" hidden="1">Toetsmatrijs!$A$4:$J$22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3" l="1"/>
  <c r="P5" i="3" s="1"/>
  <c r="O7" i="3"/>
  <c r="O8" i="3"/>
  <c r="N6" i="3"/>
  <c r="N7" i="3"/>
  <c r="N8" i="3"/>
  <c r="H22" i="3"/>
  <c r="N4" i="3"/>
  <c r="N5" i="3"/>
  <c r="O3" i="3"/>
  <c r="O4" i="3"/>
  <c r="J15" i="3"/>
  <c r="O5" i="3" s="1"/>
  <c r="O6" i="3"/>
  <c r="P3" i="3"/>
  <c r="P4" i="3"/>
  <c r="J19" i="3"/>
  <c r="P6" i="3" s="1"/>
  <c r="J20" i="3"/>
  <c r="P7" i="3" s="1"/>
  <c r="J21" i="3"/>
  <c r="P8" i="3" s="1"/>
  <c r="G22" i="3"/>
  <c r="G30" i="3" s="1"/>
  <c r="I22" i="3"/>
  <c r="I30" i="3" s="1"/>
  <c r="F22" i="3"/>
  <c r="F30" i="3" s="1"/>
  <c r="J11" i="3"/>
  <c r="N3" i="3" s="1"/>
  <c r="N9" i="3" s="1"/>
  <c r="O9" i="3" l="1"/>
  <c r="P9" i="3"/>
  <c r="Q3" i="3"/>
  <c r="J22" i="3"/>
  <c r="Q7" i="3"/>
  <c r="J28" i="3" s="1"/>
  <c r="R7" i="3" s="1"/>
  <c r="Q6" i="3"/>
  <c r="J27" i="3" s="1"/>
  <c r="R6" i="3" s="1"/>
  <c r="Q5" i="3"/>
  <c r="J26" i="3" s="1"/>
  <c r="R5" i="3" s="1"/>
  <c r="Q4" i="3"/>
  <c r="J25" i="3" s="1"/>
  <c r="R4" i="3" s="1"/>
  <c r="Q8" i="3"/>
  <c r="J29" i="3" s="1"/>
  <c r="R8" i="3" s="1"/>
  <c r="Q9" i="3" l="1"/>
  <c r="H30" i="3"/>
  <c r="J30" i="3" s="1"/>
  <c r="J24" i="3"/>
  <c r="R3" i="3" s="1"/>
  <c r="R9" i="3" s="1"/>
</calcChain>
</file>

<file path=xl/sharedStrings.xml><?xml version="1.0" encoding="utf-8"?>
<sst xmlns="http://schemas.openxmlformats.org/spreadsheetml/2006/main" count="79" uniqueCount="41">
  <si>
    <t>Toetsmatrijs</t>
  </si>
  <si>
    <t>Toetsmoment</t>
  </si>
  <si>
    <t>Module en collegejaar</t>
  </si>
  <si>
    <t>leerdoel</t>
  </si>
  <si>
    <t>Totaal</t>
  </si>
  <si>
    <t>Toetsdatum</t>
  </si>
  <si>
    <t>Soort toets</t>
  </si>
  <si>
    <t>Digitaal examen</t>
  </si>
  <si>
    <t>Cumulatieve toets</t>
  </si>
  <si>
    <t>Eindkwalificatie</t>
  </si>
  <si>
    <t>ZelCom</t>
  </si>
  <si>
    <t>Niveau van leerdoel</t>
  </si>
  <si>
    <t>Kennis</t>
  </si>
  <si>
    <t>Samenvatten / begrijpen</t>
  </si>
  <si>
    <t>Toepassen</t>
  </si>
  <si>
    <t>Analyse / evaluatie</t>
  </si>
  <si>
    <t xml:space="preserve">Nummers van </t>
  </si>
  <si>
    <t>Punten</t>
  </si>
  <si>
    <t>Toetsvragen</t>
  </si>
  <si>
    <t>A</t>
  </si>
  <si>
    <t>Totalen</t>
  </si>
  <si>
    <t>Toets 1</t>
  </si>
  <si>
    <t>Toets 2</t>
  </si>
  <si>
    <t>Herkansingstoets</t>
  </si>
  <si>
    <t>Her</t>
  </si>
  <si>
    <t>Leerdoelen. De student kan voor Data Science gerelateerde vraagstukken:</t>
  </si>
  <si>
    <t>2023-2024</t>
  </si>
  <si>
    <t>Wiskunde ll</t>
  </si>
  <si>
    <t>semester 2</t>
  </si>
  <si>
    <t>De regels van differentiëren en integreren toepassen. </t>
  </si>
  <si>
    <t>De belangrijkste beschrijvende statistieken berekenen en interpreteren, zowel handmatig als in Python. </t>
  </si>
  <si>
    <t>Correlatiecoëfficiënten berekenen, regressievergelijkingen opstellen en beide interpreteren, zowel handmatig als in Python. </t>
  </si>
  <si>
    <t>Bc</t>
  </si>
  <si>
    <t>Toets 3 Portfolio</t>
  </si>
  <si>
    <t>De regels van kansrekening toepassen. </t>
  </si>
  <si>
    <t>De verdeling van een dataset visualiseren in Python en deze interpreteren.</t>
  </si>
  <si>
    <t>Een keuze maken voor de geschikte statistische toets, deze uitvoeren en de resultaten interpreteren </t>
  </si>
  <si>
    <t>30 schriftelijk</t>
  </si>
  <si>
    <t>15 schriftelijk, 5 portfolio</t>
  </si>
  <si>
    <t>portfolio</t>
  </si>
  <si>
    <t>5 schriftelijk, 15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</si>
</sst>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7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2233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 applyProtection="1">
      <alignment wrapText="1" readingOrder="1"/>
      <protection locked="0"/>
    </xf>
    <xf numFmtId="0" fontId="5" fillId="3" borderId="13" xfId="0" applyFont="1" applyFill="1" applyBorder="1" applyAlignment="1" applyProtection="1">
      <alignment wrapText="1" readingOrder="1"/>
      <protection locked="0"/>
    </xf>
    <xf numFmtId="0" fontId="8" fillId="0" borderId="9" xfId="0" applyFont="1" applyBorder="1" applyAlignment="1" applyProtection="1">
      <alignment vertical="center" wrapText="1" readingOrder="1"/>
      <protection locked="0"/>
    </xf>
    <xf numFmtId="0" fontId="0" fillId="4" borderId="7" xfId="0" applyFill="1" applyBorder="1" applyAlignment="1" applyProtection="1">
      <alignment wrapText="1" readingOrder="1"/>
      <protection locked="0"/>
    </xf>
    <xf numFmtId="0" fontId="2" fillId="4" borderId="1" xfId="0" applyFont="1" applyFill="1" applyBorder="1" applyAlignment="1" applyProtection="1">
      <alignment vertical="center" wrapText="1" readingOrder="1"/>
      <protection locked="0"/>
    </xf>
    <xf numFmtId="0" fontId="8" fillId="4" borderId="1" xfId="0" applyFont="1" applyFill="1" applyBorder="1" applyAlignment="1" applyProtection="1">
      <alignment vertical="center" wrapText="1" readingOrder="1"/>
      <protection locked="0"/>
    </xf>
    <xf numFmtId="0" fontId="8" fillId="0" borderId="8" xfId="0" applyFont="1" applyBorder="1" applyAlignment="1" applyProtection="1">
      <alignment horizontal="center" vertical="center" wrapText="1" readingOrder="1"/>
      <protection locked="0"/>
    </xf>
    <xf numFmtId="0" fontId="9" fillId="0" borderId="8" xfId="0" applyFont="1" applyBorder="1" applyAlignment="1" applyProtection="1">
      <alignment horizontal="center" vertical="center" wrapText="1" readingOrder="1"/>
      <protection locked="0"/>
    </xf>
    <xf numFmtId="0" fontId="2" fillId="4" borderId="20" xfId="0" applyFont="1" applyFill="1" applyBorder="1" applyAlignment="1" applyProtection="1">
      <alignment vertical="center" wrapText="1" readingOrder="1"/>
      <protection locked="0"/>
    </xf>
    <xf numFmtId="0" fontId="2" fillId="4" borderId="20" xfId="0" applyFont="1" applyFill="1" applyBorder="1" applyAlignment="1" applyProtection="1">
      <alignment horizontal="center" vertical="center" wrapText="1" readingOrder="1"/>
      <protection locked="0"/>
    </xf>
    <xf numFmtId="0" fontId="2" fillId="4" borderId="24" xfId="0" applyFont="1" applyFill="1" applyBorder="1" applyAlignment="1" applyProtection="1">
      <alignment horizontal="center" vertical="center" wrapText="1" readingOrder="1"/>
      <protection locked="0"/>
    </xf>
    <xf numFmtId="0" fontId="2" fillId="4" borderId="20" xfId="0" applyFont="1" applyFill="1" applyBorder="1" applyAlignment="1" applyProtection="1">
      <alignment horizontal="left" vertical="center" wrapText="1" readingOrder="1"/>
      <protection locked="0"/>
    </xf>
    <xf numFmtId="1" fontId="4" fillId="5" borderId="25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5" borderId="23" xfId="0" applyFont="1" applyFill="1" applyBorder="1" applyAlignment="1" applyProtection="1">
      <alignment vertical="center" wrapText="1" readingOrder="1"/>
      <protection locked="0"/>
    </xf>
    <xf numFmtId="0" fontId="3" fillId="5" borderId="26" xfId="0" applyFont="1" applyFill="1" applyBorder="1" applyAlignment="1" applyProtection="1">
      <alignment horizontal="center" vertical="center" wrapText="1" readingOrder="1"/>
      <protection locked="0"/>
    </xf>
    <xf numFmtId="1" fontId="3" fillId="5" borderId="26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5" borderId="20" xfId="0" applyFont="1" applyFill="1" applyBorder="1" applyAlignment="1" applyProtection="1">
      <alignment horizontal="center" vertical="center" wrapText="1" readingOrder="1"/>
      <protection locked="0"/>
    </xf>
    <xf numFmtId="0" fontId="2" fillId="5" borderId="24" xfId="0" applyFont="1" applyFill="1" applyBorder="1" applyAlignment="1" applyProtection="1">
      <alignment horizontal="center" vertical="center" wrapText="1" readingOrder="1"/>
      <protection locked="0"/>
    </xf>
    <xf numFmtId="0" fontId="2" fillId="5" borderId="23" xfId="0" applyFont="1" applyFill="1" applyBorder="1" applyAlignment="1" applyProtection="1">
      <alignment horizontal="center" vertical="center" wrapText="1" readingOrder="1"/>
      <protection locked="0"/>
    </xf>
    <xf numFmtId="0" fontId="1" fillId="5" borderId="24" xfId="0" applyFont="1" applyFill="1" applyBorder="1" applyAlignment="1" applyProtection="1">
      <alignment horizontal="center" vertical="center" wrapText="1" readingOrder="1"/>
      <protection locked="0"/>
    </xf>
    <xf numFmtId="1" fontId="8" fillId="5" borderId="24" xfId="0" applyNumberFormat="1" applyFont="1" applyFill="1" applyBorder="1" applyAlignment="1" applyProtection="1">
      <alignment horizontal="center" vertical="center" wrapText="1" readingOrder="1"/>
      <protection locked="0"/>
    </xf>
    <xf numFmtId="1" fontId="4" fillId="0" borderId="25" xfId="0" applyNumberFormat="1" applyFont="1" applyBorder="1" applyAlignment="1" applyProtection="1">
      <alignment horizontal="center" vertical="center" wrapText="1" readingOrder="1"/>
      <protection locked="0"/>
    </xf>
    <xf numFmtId="0" fontId="2" fillId="0" borderId="20" xfId="0" applyFont="1" applyBorder="1" applyAlignment="1" applyProtection="1">
      <alignment horizontal="center" vertical="center" wrapText="1" readingOrder="1"/>
      <protection locked="0"/>
    </xf>
    <xf numFmtId="1" fontId="3" fillId="0" borderId="26" xfId="0" applyNumberFormat="1" applyFont="1" applyBorder="1" applyAlignment="1" applyProtection="1">
      <alignment horizontal="center" vertical="center" wrapText="1" readingOrder="1"/>
      <protection locked="0"/>
    </xf>
    <xf numFmtId="0" fontId="2" fillId="0" borderId="24" xfId="0" applyFont="1" applyBorder="1" applyAlignment="1" applyProtection="1">
      <alignment horizontal="center" vertical="center" wrapText="1" readingOrder="1"/>
      <protection locked="0"/>
    </xf>
    <xf numFmtId="0" fontId="2" fillId="0" borderId="23" xfId="0" applyFont="1" applyBorder="1" applyAlignment="1" applyProtection="1">
      <alignment horizontal="center" vertical="center" wrapText="1" readingOrder="1"/>
      <protection locked="0"/>
    </xf>
    <xf numFmtId="0" fontId="1" fillId="0" borderId="24" xfId="0" applyFont="1" applyBorder="1" applyAlignment="1" applyProtection="1">
      <alignment horizontal="center" vertical="center" wrapText="1" readingOrder="1"/>
      <protection locked="0"/>
    </xf>
    <xf numFmtId="1" fontId="8" fillId="0" borderId="24" xfId="0" applyNumberFormat="1" applyFont="1" applyBorder="1" applyAlignment="1" applyProtection="1">
      <alignment horizontal="center" vertical="center" wrapText="1" readingOrder="1"/>
      <protection locked="0"/>
    </xf>
    <xf numFmtId="0" fontId="3" fillId="0" borderId="26" xfId="0" applyFont="1" applyBorder="1" applyAlignment="1" applyProtection="1">
      <alignment horizontal="center" vertical="center" wrapText="1" readingOrder="1"/>
      <protection locked="0"/>
    </xf>
    <xf numFmtId="0" fontId="8" fillId="0" borderId="28" xfId="0" applyFont="1" applyBorder="1" applyAlignment="1" applyProtection="1">
      <alignment horizontal="center" vertical="center" wrapText="1" readingOrder="1"/>
      <protection locked="0"/>
    </xf>
    <xf numFmtId="0" fontId="5" fillId="3" borderId="10" xfId="0" applyFont="1" applyFill="1" applyBorder="1" applyAlignment="1" applyProtection="1">
      <alignment wrapText="1" readingOrder="1"/>
      <protection locked="0"/>
    </xf>
    <xf numFmtId="0" fontId="5" fillId="3" borderId="29" xfId="0" applyFont="1" applyFill="1" applyBorder="1" applyAlignment="1" applyProtection="1">
      <alignment wrapText="1" readingOrder="1"/>
      <protection locked="0"/>
    </xf>
    <xf numFmtId="0" fontId="5" fillId="3" borderId="16" xfId="0" applyFont="1" applyFill="1" applyBorder="1" applyAlignment="1" applyProtection="1">
      <alignment horizontal="center" wrapText="1" readingOrder="1"/>
      <protection locked="0"/>
    </xf>
    <xf numFmtId="0" fontId="5" fillId="3" borderId="17" xfId="0" applyFont="1" applyFill="1" applyBorder="1" applyAlignment="1" applyProtection="1">
      <alignment horizontal="center" wrapText="1" readingOrder="1"/>
      <protection locked="0"/>
    </xf>
    <xf numFmtId="0" fontId="5" fillId="3" borderId="18" xfId="0" applyFont="1" applyFill="1" applyBorder="1" applyAlignment="1" applyProtection="1">
      <alignment wrapText="1" readingOrder="1"/>
      <protection locked="0"/>
    </xf>
    <xf numFmtId="0" fontId="0" fillId="3" borderId="30" xfId="0" applyFill="1" applyBorder="1" applyAlignment="1">
      <alignment horizontal="center" vertical="center" wrapText="1" readingOrder="1"/>
    </xf>
    <xf numFmtId="0" fontId="0" fillId="3" borderId="15" xfId="0" applyFill="1" applyBorder="1" applyAlignment="1">
      <alignment horizontal="center" vertical="center" wrapText="1" readingOrder="1"/>
    </xf>
    <xf numFmtId="0" fontId="0" fillId="3" borderId="31" xfId="0" applyFill="1" applyBorder="1" applyAlignment="1">
      <alignment horizontal="center" vertical="center" wrapText="1" readingOrder="1"/>
    </xf>
    <xf numFmtId="0" fontId="0" fillId="3" borderId="29" xfId="0" applyFill="1" applyBorder="1" applyAlignment="1">
      <alignment horizontal="center" vertical="center" wrapText="1" readingOrder="1"/>
    </xf>
    <xf numFmtId="0" fontId="3" fillId="5" borderId="4" xfId="0" applyFont="1" applyFill="1" applyBorder="1" applyAlignment="1" applyProtection="1">
      <alignment horizontal="center" vertical="center" wrapText="1" readingOrder="1"/>
      <protection locked="0"/>
    </xf>
    <xf numFmtId="0" fontId="2" fillId="0" borderId="32" xfId="0" applyFont="1" applyBorder="1" applyAlignment="1" applyProtection="1">
      <alignment horizontal="center" vertical="center" wrapText="1" readingOrder="1"/>
      <protection locked="0"/>
    </xf>
    <xf numFmtId="1" fontId="4" fillId="5" borderId="33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5" borderId="34" xfId="0" applyFont="1" applyFill="1" applyBorder="1" applyAlignment="1" applyProtection="1">
      <alignment vertical="center" wrapText="1" readingOrder="1"/>
      <protection locked="0"/>
    </xf>
    <xf numFmtId="1" fontId="4" fillId="5" borderId="3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5" borderId="1" xfId="0" applyFont="1" applyFill="1" applyBorder="1" applyAlignment="1" applyProtection="1">
      <alignment vertical="center" wrapText="1" readingOrder="1"/>
      <protection locked="0"/>
    </xf>
    <xf numFmtId="1" fontId="4" fillId="0" borderId="31" xfId="0" applyNumberFormat="1" applyFont="1" applyBorder="1" applyAlignment="1" applyProtection="1">
      <alignment horizontal="center" vertical="center" wrapText="1" readingOrder="1"/>
      <protection locked="0"/>
    </xf>
    <xf numFmtId="1" fontId="4" fillId="0" borderId="35" xfId="0" applyNumberFormat="1" applyFont="1" applyBorder="1" applyAlignment="1" applyProtection="1">
      <alignment horizontal="center" vertical="center" wrapText="1" readingOrder="1"/>
      <protection locked="0"/>
    </xf>
    <xf numFmtId="1" fontId="4" fillId="0" borderId="36" xfId="0" applyNumberFormat="1" applyFont="1" applyBorder="1" applyAlignment="1" applyProtection="1">
      <alignment horizontal="center" vertical="center" wrapText="1" readingOrder="1"/>
      <protection locked="0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5" fillId="3" borderId="37" xfId="0" applyFont="1" applyFill="1" applyBorder="1" applyAlignment="1">
      <alignment vertical="center" wrapText="1" readingOrder="1"/>
    </xf>
    <xf numFmtId="0" fontId="5" fillId="3" borderId="38" xfId="0" applyFont="1" applyFill="1" applyBorder="1" applyAlignment="1">
      <alignment vertical="center" wrapText="1" readingOrder="1"/>
    </xf>
    <xf numFmtId="0" fontId="5" fillId="3" borderId="39" xfId="0" applyFont="1" applyFill="1" applyBorder="1" applyAlignment="1">
      <alignment vertical="center" wrapText="1" readingOrder="1"/>
    </xf>
    <xf numFmtId="0" fontId="9" fillId="0" borderId="40" xfId="0" applyFont="1" applyBorder="1" applyAlignment="1" applyProtection="1">
      <alignment horizontal="center" vertical="center" wrapText="1" readingOrder="1"/>
      <protection locked="0"/>
    </xf>
    <xf numFmtId="0" fontId="8" fillId="0" borderId="39" xfId="0" applyFont="1" applyBorder="1" applyAlignment="1" applyProtection="1">
      <alignment vertical="center" wrapText="1" readingOrder="1"/>
      <protection locked="0"/>
    </xf>
    <xf numFmtId="1" fontId="8" fillId="0" borderId="38" xfId="0" applyNumberFormat="1" applyFont="1" applyBorder="1" applyAlignment="1" applyProtection="1">
      <alignment horizontal="center" vertical="center" wrapText="1" readingOrder="1"/>
      <protection locked="0"/>
    </xf>
    <xf numFmtId="0" fontId="6" fillId="2" borderId="10" xfId="0" applyFont="1" applyFill="1" applyBorder="1" applyAlignment="1" applyProtection="1">
      <alignment horizontal="center" wrapText="1" readingOrder="1"/>
      <protection locked="0"/>
    </xf>
    <xf numFmtId="0" fontId="6" fillId="2" borderId="11" xfId="0" applyFont="1" applyFill="1" applyBorder="1" applyAlignment="1" applyProtection="1">
      <alignment horizontal="center" wrapText="1" readingOrder="1"/>
      <protection locked="0"/>
    </xf>
    <xf numFmtId="0" fontId="6" fillId="2" borderId="12" xfId="0" applyFont="1" applyFill="1" applyBorder="1" applyAlignment="1" applyProtection="1">
      <alignment horizontal="center" wrapText="1" readingOrder="1"/>
      <protection locked="0"/>
    </xf>
    <xf numFmtId="0" fontId="0" fillId="3" borderId="0" xfId="0" applyFill="1" applyAlignment="1">
      <alignment horizontal="center" vertical="center" wrapText="1" readingOrder="1"/>
    </xf>
    <xf numFmtId="0" fontId="0" fillId="3" borderId="41" xfId="0" applyFill="1" applyBorder="1" applyAlignment="1">
      <alignment horizontal="center" vertical="center" wrapText="1" readingOrder="1"/>
    </xf>
    <xf numFmtId="0" fontId="0" fillId="0" borderId="0" xfId="0" applyAlignment="1" applyProtection="1">
      <alignment readingOrder="1"/>
      <protection locked="0"/>
    </xf>
    <xf numFmtId="0" fontId="2" fillId="5" borderId="42" xfId="0" applyFont="1" applyFill="1" applyBorder="1" applyAlignment="1" applyProtection="1">
      <alignment vertical="center" wrapText="1" readingOrder="1"/>
      <protection locked="0"/>
    </xf>
    <xf numFmtId="0" fontId="3" fillId="5" borderId="38" xfId="0" applyFont="1" applyFill="1" applyBorder="1" applyAlignment="1" applyProtection="1">
      <alignment horizontal="center" vertical="center" wrapText="1" readingOrder="1"/>
      <protection locked="0"/>
    </xf>
    <xf numFmtId="0" fontId="2" fillId="0" borderId="43" xfId="0" applyFont="1" applyBorder="1" applyAlignment="1" applyProtection="1">
      <alignment horizontal="center" vertical="center" wrapText="1" readingOrder="1"/>
      <protection locked="0"/>
    </xf>
    <xf numFmtId="0" fontId="5" fillId="3" borderId="44" xfId="0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 applyProtection="1">
      <alignment vertical="top" wrapText="1" readingOrder="1"/>
      <protection locked="0"/>
    </xf>
    <xf numFmtId="0" fontId="2" fillId="4" borderId="24" xfId="0" applyFont="1" applyFill="1" applyBorder="1" applyAlignment="1" applyProtection="1">
      <alignment vertical="center" wrapText="1" readingOrder="1"/>
      <protection locked="0"/>
    </xf>
    <xf numFmtId="0" fontId="2" fillId="4" borderId="6" xfId="0" applyFont="1" applyFill="1" applyBorder="1" applyAlignment="1" applyProtection="1">
      <alignment vertical="center" wrapText="1" readingOrder="1"/>
      <protection locked="0"/>
    </xf>
    <xf numFmtId="0" fontId="2" fillId="4" borderId="2" xfId="0" applyFont="1" applyFill="1" applyBorder="1" applyAlignment="1" applyProtection="1">
      <alignment vertical="center" wrapText="1" readingOrder="1"/>
      <protection locked="0"/>
    </xf>
    <xf numFmtId="0" fontId="7" fillId="0" borderId="27" xfId="0" applyFont="1" applyBorder="1" applyAlignment="1">
      <alignment horizontal="right" vertical="center" wrapText="1"/>
    </xf>
    <xf numFmtId="0" fontId="7" fillId="0" borderId="14" xfId="0" applyFont="1" applyBorder="1" applyAlignment="1">
      <alignment horizontal="right" vertical="center" wrapText="1"/>
    </xf>
    <xf numFmtId="0" fontId="7" fillId="0" borderId="28" xfId="0" applyFont="1" applyBorder="1" applyAlignment="1">
      <alignment horizontal="right" vertical="center" wrapText="1"/>
    </xf>
    <xf numFmtId="0" fontId="10" fillId="2" borderId="19" xfId="0" applyFont="1" applyFill="1" applyBorder="1" applyAlignment="1" applyProtection="1">
      <alignment horizontal="center" wrapText="1" readingOrder="1"/>
      <protection locked="0"/>
    </xf>
    <xf numFmtId="0" fontId="2" fillId="4" borderId="20" xfId="0" applyFont="1" applyFill="1" applyBorder="1" applyAlignment="1" applyProtection="1">
      <alignment vertical="center" wrapText="1" readingOrder="1"/>
      <protection locked="0"/>
    </xf>
    <xf numFmtId="0" fontId="2" fillId="4" borderId="21" xfId="0" applyFont="1" applyFill="1" applyBorder="1" applyAlignment="1" applyProtection="1">
      <alignment horizontal="left" wrapText="1" readingOrder="1"/>
      <protection locked="0"/>
    </xf>
    <xf numFmtId="0" fontId="2" fillId="4" borderId="22" xfId="0" applyFont="1" applyFill="1" applyBorder="1" applyAlignment="1" applyProtection="1">
      <alignment horizontal="left" wrapText="1" readingOrder="1"/>
      <protection locked="0"/>
    </xf>
    <xf numFmtId="0" fontId="2" fillId="4" borderId="23" xfId="0" applyFont="1" applyFill="1" applyBorder="1" applyAlignment="1" applyProtection="1">
      <alignment horizontal="left" wrapText="1" readingOrder="1"/>
      <protection locked="0"/>
    </xf>
    <xf numFmtId="0" fontId="2" fillId="4" borderId="20" xfId="0" applyFont="1" applyFill="1" applyBorder="1" applyAlignment="1" applyProtection="1">
      <alignment horizontal="left" vertical="center" wrapText="1" readingOrder="1"/>
      <protection locked="0"/>
    </xf>
    <xf numFmtId="0" fontId="2" fillId="4" borderId="21" xfId="0" applyFont="1" applyFill="1" applyBorder="1" applyAlignment="1" applyProtection="1">
      <alignment horizontal="left" vertical="center" wrapText="1" readingOrder="1"/>
      <protection locked="0"/>
    </xf>
    <xf numFmtId="0" fontId="2" fillId="4" borderId="25" xfId="0" applyFont="1" applyFill="1" applyBorder="1" applyAlignment="1" applyProtection="1">
      <alignment vertical="center" wrapText="1" readingOrder="1"/>
      <protection locked="0"/>
    </xf>
    <xf numFmtId="0" fontId="2" fillId="4" borderId="26" xfId="0" applyFont="1" applyFill="1" applyBorder="1" applyAlignment="1" applyProtection="1">
      <alignment vertical="center" wrapText="1" readingOrder="1"/>
      <protection locked="0"/>
    </xf>
    <xf numFmtId="0" fontId="2" fillId="4" borderId="3" xfId="0" applyFont="1" applyFill="1" applyBorder="1" applyAlignment="1" applyProtection="1">
      <alignment vertical="center" wrapText="1" readingOrder="1"/>
      <protection locked="0"/>
    </xf>
    <xf numFmtId="0" fontId="2" fillId="4" borderId="4" xfId="0" applyFont="1" applyFill="1" applyBorder="1" applyAlignment="1" applyProtection="1">
      <alignment vertical="center" wrapText="1" readingOrder="1"/>
      <protection locked="0"/>
    </xf>
    <xf numFmtId="0" fontId="2" fillId="4" borderId="5" xfId="0" applyFont="1" applyFill="1" applyBorder="1" applyAlignment="1" applyProtection="1">
      <alignment vertical="center" wrapText="1" readingOrder="1"/>
      <protection locked="0"/>
    </xf>
    <xf numFmtId="0" fontId="2" fillId="4" borderId="24" xfId="0" applyFont="1" applyFill="1" applyBorder="1" applyAlignment="1" applyProtection="1">
      <alignment horizontal="center" vertical="center" textRotation="90" wrapText="1" readingOrder="1"/>
      <protection locked="0"/>
    </xf>
    <xf numFmtId="0" fontId="2" fillId="4" borderId="6" xfId="0" applyFont="1" applyFill="1" applyBorder="1" applyAlignment="1" applyProtection="1">
      <alignment horizontal="center" vertical="center" textRotation="90" wrapText="1" readingOrder="1"/>
      <protection locked="0"/>
    </xf>
    <xf numFmtId="0" fontId="2" fillId="4" borderId="2" xfId="0" applyFont="1" applyFill="1" applyBorder="1" applyAlignment="1" applyProtection="1">
      <alignment horizontal="center" vertical="center" textRotation="90" wrapText="1" readingOrder="1"/>
      <protection locked="0"/>
    </xf>
    <xf numFmtId="0" fontId="2" fillId="4" borderId="21" xfId="0" applyFont="1" applyFill="1" applyBorder="1" applyAlignment="1" applyProtection="1">
      <alignment horizontal="center" vertical="center" wrapText="1" readingOrder="1"/>
      <protection locked="0"/>
    </xf>
    <xf numFmtId="0" fontId="2" fillId="4" borderId="22" xfId="0" applyFont="1" applyFill="1" applyBorder="1" applyAlignment="1" applyProtection="1">
      <alignment horizontal="center" vertical="center" wrapText="1" readingOrder="1"/>
      <protection locked="0"/>
    </xf>
    <xf numFmtId="0" fontId="2" fillId="4" borderId="23" xfId="0" applyFont="1" applyFill="1" applyBorder="1" applyAlignment="1" applyProtection="1">
      <alignment horizontal="center" vertical="center" wrapText="1" readingOrder="1"/>
      <protection locked="0"/>
    </xf>
    <xf numFmtId="0" fontId="8" fillId="4" borderId="24" xfId="0" applyFont="1" applyFill="1" applyBorder="1" applyAlignment="1" applyProtection="1">
      <alignment vertical="center" wrapText="1" readingOrder="1"/>
      <protection locked="0"/>
    </xf>
    <xf numFmtId="0" fontId="8" fillId="4" borderId="6" xfId="0" applyFont="1" applyFill="1" applyBorder="1" applyAlignment="1" applyProtection="1">
      <alignment vertical="center" wrapText="1" readingOrder="1"/>
      <protection locked="0"/>
    </xf>
    <xf numFmtId="0" fontId="8" fillId="4" borderId="2" xfId="0" applyFont="1" applyFill="1" applyBorder="1" applyAlignment="1" applyProtection="1">
      <alignment vertical="center" wrapText="1" readingOrder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B11E-EC16-4DC7-BC9C-E0224F23B564}">
  <sheetPr>
    <pageSetUpPr fitToPage="1"/>
  </sheetPr>
  <dimension ref="A1:R30"/>
  <sheetViews>
    <sheetView tabSelected="1" zoomScale="85" zoomScaleNormal="85" workbookViewId="0">
      <selection activeCell="L14" sqref="L14"/>
    </sheetView>
  </sheetViews>
  <sheetFormatPr defaultColWidth="9.109375" defaultRowHeight="14.4" x14ac:dyDescent="0.3"/>
  <cols>
    <col min="1" max="1" width="9.109375" style="1"/>
    <col min="2" max="2" width="59.88671875" style="1" customWidth="1"/>
    <col min="3" max="3" width="4.5546875" style="1" customWidth="1"/>
    <col min="4" max="4" width="6.109375" style="1" customWidth="1"/>
    <col min="5" max="5" width="5" style="1" customWidth="1"/>
    <col min="6" max="6" width="6.5546875" style="1" customWidth="1"/>
    <col min="7" max="7" width="12.109375" style="1" customWidth="1"/>
    <col min="8" max="8" width="15.109375" style="1" customWidth="1"/>
    <col min="9" max="9" width="8.44140625" style="1" customWidth="1"/>
    <col min="10" max="10" width="11.109375" style="1" bestFit="1" customWidth="1"/>
    <col min="11" max="11" width="12.44140625" style="1" customWidth="1"/>
    <col min="12" max="12" width="22.88671875" style="1" customWidth="1"/>
    <col min="13" max="13" width="19.44140625" style="1" customWidth="1"/>
    <col min="14" max="14" width="18.44140625" style="1" customWidth="1"/>
    <col min="15" max="15" width="18.33203125" style="1" customWidth="1"/>
    <col min="16" max="16" width="16.77734375" style="1" customWidth="1"/>
    <col min="17" max="17" width="9.109375" style="1"/>
    <col min="18" max="18" width="9.109375" style="1" customWidth="1"/>
    <col min="19" max="16384" width="9.109375" style="1"/>
  </cols>
  <sheetData>
    <row r="1" spans="1:18" ht="24" customHeight="1" thickBot="1" x14ac:dyDescent="0.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M1" s="57" t="s">
        <v>1</v>
      </c>
      <c r="N1" s="58"/>
      <c r="O1" s="58"/>
      <c r="P1" s="58"/>
      <c r="Q1" s="58"/>
      <c r="R1" s="59"/>
    </row>
    <row r="2" spans="1:18" ht="19.95" customHeight="1" thickBot="1" x14ac:dyDescent="0.35">
      <c r="A2" s="75" t="s">
        <v>2</v>
      </c>
      <c r="B2" s="75"/>
      <c r="C2" s="9"/>
      <c r="D2" s="9"/>
      <c r="E2" s="9"/>
      <c r="F2" s="76" t="s">
        <v>27</v>
      </c>
      <c r="G2" s="77"/>
      <c r="H2" s="77"/>
      <c r="I2" s="78"/>
      <c r="J2" s="10" t="s">
        <v>26</v>
      </c>
      <c r="K2" s="11"/>
      <c r="M2" s="2" t="s">
        <v>3</v>
      </c>
      <c r="N2" s="33">
        <v>1</v>
      </c>
      <c r="O2" s="34">
        <v>2</v>
      </c>
      <c r="P2" s="34">
        <v>3</v>
      </c>
      <c r="Q2" s="35" t="s">
        <v>4</v>
      </c>
      <c r="R2" s="35" t="s">
        <v>24</v>
      </c>
    </row>
    <row r="3" spans="1:18" ht="19.95" customHeight="1" thickBot="1" x14ac:dyDescent="0.35">
      <c r="A3" s="79" t="s">
        <v>5</v>
      </c>
      <c r="B3" s="79"/>
      <c r="C3" s="12"/>
      <c r="D3" s="12"/>
      <c r="E3" s="12"/>
      <c r="F3" s="79" t="s">
        <v>28</v>
      </c>
      <c r="G3" s="79"/>
      <c r="H3" s="79"/>
      <c r="I3" s="79"/>
      <c r="J3" s="80"/>
      <c r="K3" s="4"/>
      <c r="M3" s="31">
        <v>1</v>
      </c>
      <c r="N3" s="38">
        <f t="shared" ref="N3:N8" si="0">SUMIFS($J$11:$J$11,$A$11:$A$11,$M3,$D$11:$D$11,N$2)</f>
        <v>20</v>
      </c>
      <c r="O3" s="36">
        <f t="shared" ref="O3:O8" si="1">SUMIFS($J$13:$J$15,$A$13:$A$15,$M3,$D$13:$D$15,O$2)</f>
        <v>10</v>
      </c>
      <c r="P3" s="61">
        <f t="shared" ref="P3:P8" si="2">SUMIFS($J$17:$J$21,$A$17:$A$21,$M3,$D$17:$D$21,P$2)</f>
        <v>0</v>
      </c>
      <c r="Q3" s="36">
        <f>SUM(N3:P3)</f>
        <v>30</v>
      </c>
      <c r="R3" s="36">
        <f t="shared" ref="R3:R8" si="3">SUMIFS($J$24:$J$29,$A$24:$A$29,$M3,$D$24:$D$29,R$2)</f>
        <v>30</v>
      </c>
    </row>
    <row r="4" spans="1:18" ht="19.95" customHeight="1" thickBot="1" x14ac:dyDescent="0.35">
      <c r="A4" s="79" t="s">
        <v>6</v>
      </c>
      <c r="B4" s="79"/>
      <c r="C4" s="9"/>
      <c r="D4" s="9"/>
      <c r="E4" s="9"/>
      <c r="F4" s="79" t="s">
        <v>7</v>
      </c>
      <c r="G4" s="79"/>
      <c r="H4" s="79"/>
      <c r="I4" s="79"/>
      <c r="J4" s="68"/>
      <c r="K4" s="69" t="s">
        <v>8</v>
      </c>
      <c r="M4" s="32">
        <v>2</v>
      </c>
      <c r="N4" s="39">
        <f t="shared" si="0"/>
        <v>0</v>
      </c>
      <c r="O4" s="37">
        <f t="shared" si="1"/>
        <v>10</v>
      </c>
      <c r="P4" s="60">
        <f t="shared" si="2"/>
        <v>10</v>
      </c>
      <c r="Q4" s="37">
        <f t="shared" ref="Q4:Q8" si="4">SUM(N4:P4)</f>
        <v>20</v>
      </c>
      <c r="R4" s="37">
        <f t="shared" si="3"/>
        <v>20</v>
      </c>
    </row>
    <row r="5" spans="1:18" ht="19.95" customHeight="1" thickBot="1" x14ac:dyDescent="0.35">
      <c r="A5" s="81" t="s">
        <v>25</v>
      </c>
      <c r="B5" s="82"/>
      <c r="C5" s="86" t="s">
        <v>9</v>
      </c>
      <c r="D5" s="86" t="s">
        <v>1</v>
      </c>
      <c r="E5" s="86" t="s">
        <v>10</v>
      </c>
      <c r="F5" s="89" t="s">
        <v>11</v>
      </c>
      <c r="G5" s="90"/>
      <c r="H5" s="90"/>
      <c r="I5" s="91"/>
      <c r="J5" s="70"/>
      <c r="K5" s="70"/>
      <c r="M5" s="32">
        <v>3</v>
      </c>
      <c r="N5" s="39">
        <f t="shared" si="0"/>
        <v>0</v>
      </c>
      <c r="O5" s="37">
        <f t="shared" si="1"/>
        <v>10</v>
      </c>
      <c r="P5" s="60">
        <f t="shared" si="2"/>
        <v>10</v>
      </c>
      <c r="Q5" s="37">
        <f t="shared" si="4"/>
        <v>20</v>
      </c>
      <c r="R5" s="37">
        <f t="shared" si="3"/>
        <v>20</v>
      </c>
    </row>
    <row r="6" spans="1:18" ht="19.95" customHeight="1" x14ac:dyDescent="0.3">
      <c r="A6" s="83"/>
      <c r="B6" s="84"/>
      <c r="C6" s="87"/>
      <c r="D6" s="87"/>
      <c r="E6" s="87"/>
      <c r="F6" s="68" t="s">
        <v>12</v>
      </c>
      <c r="G6" s="68" t="s">
        <v>13</v>
      </c>
      <c r="H6" s="68" t="s">
        <v>14</v>
      </c>
      <c r="I6" s="68" t="s">
        <v>15</v>
      </c>
      <c r="J6" s="92" t="s">
        <v>4</v>
      </c>
      <c r="K6" s="68" t="s">
        <v>16</v>
      </c>
      <c r="M6" s="32">
        <v>4</v>
      </c>
      <c r="N6" s="39">
        <f t="shared" si="0"/>
        <v>0</v>
      </c>
      <c r="O6" s="37">
        <f t="shared" si="1"/>
        <v>0</v>
      </c>
      <c r="P6" s="60">
        <f t="shared" si="2"/>
        <v>5</v>
      </c>
      <c r="Q6" s="37">
        <f t="shared" si="4"/>
        <v>5</v>
      </c>
      <c r="R6" s="37">
        <f t="shared" si="3"/>
        <v>5</v>
      </c>
    </row>
    <row r="7" spans="1:18" ht="19.95" customHeight="1" x14ac:dyDescent="0.3">
      <c r="A7" s="83"/>
      <c r="B7" s="84"/>
      <c r="C7" s="87"/>
      <c r="D7" s="87"/>
      <c r="E7" s="87"/>
      <c r="F7" s="69"/>
      <c r="G7" s="69"/>
      <c r="H7" s="69"/>
      <c r="I7" s="69"/>
      <c r="J7" s="93"/>
      <c r="K7" s="69"/>
      <c r="M7" s="32">
        <v>5</v>
      </c>
      <c r="N7" s="39">
        <f t="shared" si="0"/>
        <v>0</v>
      </c>
      <c r="O7" s="37">
        <f t="shared" si="1"/>
        <v>0</v>
      </c>
      <c r="P7" s="60">
        <f t="shared" si="2"/>
        <v>10</v>
      </c>
      <c r="Q7" s="37">
        <f t="shared" si="4"/>
        <v>10</v>
      </c>
      <c r="R7" s="37">
        <f t="shared" si="3"/>
        <v>10</v>
      </c>
    </row>
    <row r="8" spans="1:18" ht="19.95" customHeight="1" thickBot="1" x14ac:dyDescent="0.35">
      <c r="A8" s="83"/>
      <c r="B8" s="84"/>
      <c r="C8" s="87"/>
      <c r="D8" s="87"/>
      <c r="E8" s="87"/>
      <c r="F8" s="70"/>
      <c r="G8" s="70"/>
      <c r="H8" s="70"/>
      <c r="I8" s="70"/>
      <c r="J8" s="94"/>
      <c r="K8" s="70"/>
      <c r="M8" s="32">
        <v>6</v>
      </c>
      <c r="N8" s="39">
        <f t="shared" si="0"/>
        <v>0</v>
      </c>
      <c r="O8" s="37">
        <f t="shared" si="1"/>
        <v>0</v>
      </c>
      <c r="P8" s="60">
        <f t="shared" si="2"/>
        <v>15</v>
      </c>
      <c r="Q8" s="37">
        <f t="shared" si="4"/>
        <v>15</v>
      </c>
      <c r="R8" s="37">
        <f t="shared" si="3"/>
        <v>15</v>
      </c>
    </row>
    <row r="9" spans="1:18" ht="19.95" customHeight="1" thickBot="1" x14ac:dyDescent="0.35">
      <c r="A9" s="85"/>
      <c r="B9" s="84"/>
      <c r="C9" s="88"/>
      <c r="D9" s="88"/>
      <c r="E9" s="88"/>
      <c r="F9" s="5" t="s">
        <v>17</v>
      </c>
      <c r="G9" s="5" t="s">
        <v>17</v>
      </c>
      <c r="H9" s="5" t="s">
        <v>17</v>
      </c>
      <c r="I9" s="5" t="s">
        <v>17</v>
      </c>
      <c r="J9" s="6" t="s">
        <v>17</v>
      </c>
      <c r="K9" s="5" t="s">
        <v>18</v>
      </c>
      <c r="M9" s="66" t="s">
        <v>4</v>
      </c>
      <c r="N9" s="51">
        <f>SUM(N3:N8)</f>
        <v>20</v>
      </c>
      <c r="O9" s="51">
        <f>SUM(O3:O8)</f>
        <v>30</v>
      </c>
      <c r="P9" s="51">
        <f>SUM(P3:P8)</f>
        <v>50</v>
      </c>
      <c r="Q9" s="52">
        <f>SUM(Q3:Q8)</f>
        <v>100</v>
      </c>
      <c r="R9" s="53">
        <f>SUM(R3:R8)</f>
        <v>100</v>
      </c>
    </row>
    <row r="10" spans="1:18" ht="30" customHeight="1" thickBot="1" x14ac:dyDescent="0.35">
      <c r="A10" s="42"/>
      <c r="B10" s="43" t="s">
        <v>21</v>
      </c>
      <c r="C10" s="15"/>
      <c r="D10" s="16"/>
      <c r="E10" s="17"/>
      <c r="F10" s="18"/>
      <c r="G10" s="19"/>
      <c r="H10" s="19"/>
      <c r="I10" s="20"/>
      <c r="J10" s="21"/>
      <c r="K10" s="18"/>
    </row>
    <row r="11" spans="1:18" ht="30" customHeight="1" thickBot="1" x14ac:dyDescent="0.35">
      <c r="A11" s="46">
        <v>1</v>
      </c>
      <c r="B11" s="49" t="s">
        <v>29</v>
      </c>
      <c r="C11" s="41">
        <v>4</v>
      </c>
      <c r="D11" s="24">
        <v>1</v>
      </c>
      <c r="E11" s="23" t="s">
        <v>19</v>
      </c>
      <c r="F11" s="25"/>
      <c r="G11" s="26"/>
      <c r="H11" s="26">
        <v>20</v>
      </c>
      <c r="I11" s="27"/>
      <c r="J11" s="28">
        <f>SUM(F11:I11)</f>
        <v>20</v>
      </c>
      <c r="K11" s="25"/>
    </row>
    <row r="12" spans="1:18" ht="30" customHeight="1" thickBot="1" x14ac:dyDescent="0.35">
      <c r="A12" s="44"/>
      <c r="B12" s="45" t="s">
        <v>22</v>
      </c>
      <c r="C12" s="40"/>
      <c r="D12" s="16"/>
      <c r="E12" s="17"/>
      <c r="F12" s="18"/>
      <c r="G12" s="19"/>
      <c r="H12" s="19"/>
      <c r="I12" s="20"/>
      <c r="J12" s="20"/>
      <c r="K12" s="18"/>
    </row>
    <row r="13" spans="1:18" ht="30" customHeight="1" thickBot="1" x14ac:dyDescent="0.35">
      <c r="A13" s="46">
        <v>1</v>
      </c>
      <c r="B13" s="49" t="s">
        <v>29</v>
      </c>
      <c r="C13" s="23">
        <v>4</v>
      </c>
      <c r="D13" s="24">
        <v>2</v>
      </c>
      <c r="E13" s="23" t="s">
        <v>19</v>
      </c>
      <c r="F13" s="25"/>
      <c r="G13" s="26"/>
      <c r="H13" s="26">
        <v>10</v>
      </c>
      <c r="I13" s="27"/>
      <c r="J13" s="28">
        <v>10</v>
      </c>
      <c r="K13" s="25"/>
      <c r="L13" s="67"/>
      <c r="M13" s="67"/>
      <c r="N13" s="67"/>
    </row>
    <row r="14" spans="1:18" ht="30" customHeight="1" thickBot="1" x14ac:dyDescent="0.35">
      <c r="A14" s="47">
        <v>2</v>
      </c>
      <c r="B14" s="49" t="s">
        <v>30</v>
      </c>
      <c r="C14" s="29">
        <v>4</v>
      </c>
      <c r="D14" s="24">
        <v>2</v>
      </c>
      <c r="E14" s="23" t="s">
        <v>19</v>
      </c>
      <c r="F14" s="25"/>
      <c r="G14" s="26"/>
      <c r="H14" s="26">
        <v>10</v>
      </c>
      <c r="I14" s="27"/>
      <c r="J14" s="28">
        <v>10</v>
      </c>
      <c r="K14" s="25"/>
      <c r="L14" s="67"/>
      <c r="M14" s="67"/>
      <c r="N14" s="67"/>
      <c r="O14" s="67"/>
      <c r="P14" s="67"/>
    </row>
    <row r="15" spans="1:18" ht="30" customHeight="1" thickBot="1" x14ac:dyDescent="0.35">
      <c r="A15" s="48">
        <v>3</v>
      </c>
      <c r="B15" s="49" t="s">
        <v>31</v>
      </c>
      <c r="C15" s="29">
        <v>5</v>
      </c>
      <c r="D15" s="24">
        <v>2</v>
      </c>
      <c r="E15" s="23" t="s">
        <v>32</v>
      </c>
      <c r="F15" s="25"/>
      <c r="G15" s="26"/>
      <c r="H15" s="26">
        <v>10</v>
      </c>
      <c r="I15" s="27"/>
      <c r="J15" s="28">
        <f t="shared" ref="J15:J22" si="5">SUM(F15:I15)</f>
        <v>10</v>
      </c>
      <c r="K15" s="25"/>
      <c r="L15" s="67"/>
      <c r="M15" s="67"/>
      <c r="N15" s="67"/>
    </row>
    <row r="16" spans="1:18" ht="30" customHeight="1" thickBot="1" x14ac:dyDescent="0.35">
      <c r="A16" s="13"/>
      <c r="B16" s="63" t="s">
        <v>33</v>
      </c>
      <c r="C16" s="64"/>
      <c r="D16" s="16"/>
      <c r="E16" s="17"/>
      <c r="F16" s="18"/>
      <c r="G16" s="19"/>
      <c r="H16" s="19"/>
      <c r="I16" s="20"/>
      <c r="J16" s="20"/>
      <c r="K16" s="18"/>
    </row>
    <row r="17" spans="1:12" ht="30" customHeight="1" thickBot="1" x14ac:dyDescent="0.35">
      <c r="A17" s="47">
        <v>2</v>
      </c>
      <c r="B17" s="49" t="s">
        <v>30</v>
      </c>
      <c r="C17" s="29">
        <v>4</v>
      </c>
      <c r="D17" s="24">
        <v>3</v>
      </c>
      <c r="E17" s="23" t="s">
        <v>19</v>
      </c>
      <c r="F17" s="25"/>
      <c r="G17" s="26"/>
      <c r="H17" s="26">
        <v>10</v>
      </c>
      <c r="I17" s="27"/>
      <c r="J17" s="28">
        <v>10</v>
      </c>
      <c r="K17" s="25"/>
    </row>
    <row r="18" spans="1:12" ht="30" customHeight="1" thickBot="1" x14ac:dyDescent="0.35">
      <c r="A18" s="48">
        <v>3</v>
      </c>
      <c r="B18" s="49" t="s">
        <v>31</v>
      </c>
      <c r="C18" s="29">
        <v>5</v>
      </c>
      <c r="D18" s="24">
        <v>3</v>
      </c>
      <c r="E18" s="23" t="s">
        <v>32</v>
      </c>
      <c r="F18" s="25"/>
      <c r="G18" s="26"/>
      <c r="H18" s="26">
        <v>10</v>
      </c>
      <c r="I18" s="27"/>
      <c r="J18" s="28">
        <f>SUM(F18:I18)</f>
        <v>10</v>
      </c>
      <c r="K18" s="25"/>
    </row>
    <row r="19" spans="1:12" ht="30" customHeight="1" thickBot="1" x14ac:dyDescent="0.35">
      <c r="A19" s="22">
        <v>4</v>
      </c>
      <c r="B19" s="50" t="s">
        <v>34</v>
      </c>
      <c r="C19" s="29">
        <v>5</v>
      </c>
      <c r="D19" s="24">
        <v>3</v>
      </c>
      <c r="E19" s="23" t="s">
        <v>19</v>
      </c>
      <c r="F19" s="25"/>
      <c r="G19" s="26"/>
      <c r="H19" s="26">
        <v>5</v>
      </c>
      <c r="I19" s="27"/>
      <c r="J19" s="28">
        <f t="shared" si="5"/>
        <v>5</v>
      </c>
      <c r="K19" s="25"/>
    </row>
    <row r="20" spans="1:12" ht="30" customHeight="1" thickBot="1" x14ac:dyDescent="0.35">
      <c r="A20" s="22">
        <v>5</v>
      </c>
      <c r="B20" s="50" t="s">
        <v>35</v>
      </c>
      <c r="C20" s="29">
        <v>5</v>
      </c>
      <c r="D20" s="24">
        <v>3</v>
      </c>
      <c r="E20" s="23" t="s">
        <v>32</v>
      </c>
      <c r="F20" s="25"/>
      <c r="G20" s="26"/>
      <c r="H20" s="26">
        <v>10</v>
      </c>
      <c r="I20" s="27"/>
      <c r="J20" s="28">
        <f t="shared" si="5"/>
        <v>10</v>
      </c>
      <c r="K20" s="25"/>
    </row>
    <row r="21" spans="1:12" ht="30" customHeight="1" thickBot="1" x14ac:dyDescent="0.35">
      <c r="A21" s="22">
        <v>6</v>
      </c>
      <c r="B21" s="50" t="s">
        <v>36</v>
      </c>
      <c r="C21" s="29">
        <v>5</v>
      </c>
      <c r="D21" s="24">
        <v>3</v>
      </c>
      <c r="E21" s="23" t="s">
        <v>32</v>
      </c>
      <c r="F21" s="25"/>
      <c r="G21" s="26"/>
      <c r="H21" s="26">
        <v>15</v>
      </c>
      <c r="I21" s="27"/>
      <c r="J21" s="28">
        <f>SUM(F21:I21)</f>
        <v>15</v>
      </c>
      <c r="K21" s="25"/>
    </row>
    <row r="22" spans="1:12" ht="30" customHeight="1" thickBot="1" x14ac:dyDescent="0.35">
      <c r="A22" s="71" t="s">
        <v>20</v>
      </c>
      <c r="B22" s="72"/>
      <c r="C22" s="72"/>
      <c r="D22" s="72"/>
      <c r="E22" s="73"/>
      <c r="F22" s="7">
        <f>SUM(F11:F21)</f>
        <v>0</v>
      </c>
      <c r="G22" s="30">
        <f>SUM(G11:G21)</f>
        <v>0</v>
      </c>
      <c r="H22" s="30">
        <f>SUM(H11:H21)</f>
        <v>100</v>
      </c>
      <c r="I22" s="8">
        <f>SUM(I11:I21)</f>
        <v>0</v>
      </c>
      <c r="J22" s="28">
        <f t="shared" si="5"/>
        <v>100</v>
      </c>
      <c r="K22" s="3"/>
    </row>
    <row r="23" spans="1:12" ht="30" customHeight="1" thickBot="1" x14ac:dyDescent="0.35">
      <c r="A23" s="13"/>
      <c r="B23" s="14" t="s">
        <v>23</v>
      </c>
      <c r="C23" s="15"/>
      <c r="D23" s="16"/>
      <c r="E23" s="17"/>
      <c r="F23" s="18"/>
      <c r="G23" s="19"/>
      <c r="H23" s="19"/>
      <c r="I23" s="20"/>
      <c r="J23" s="20"/>
      <c r="K23" s="18"/>
      <c r="L23" s="62"/>
    </row>
    <row r="24" spans="1:12" ht="30" customHeight="1" thickBot="1" x14ac:dyDescent="0.35">
      <c r="A24" s="46">
        <v>1</v>
      </c>
      <c r="B24" s="49" t="s">
        <v>29</v>
      </c>
      <c r="C24" s="23">
        <v>4</v>
      </c>
      <c r="D24" s="24" t="s">
        <v>24</v>
      </c>
      <c r="E24" s="23" t="s">
        <v>19</v>
      </c>
      <c r="F24" s="25"/>
      <c r="G24" s="26"/>
      <c r="H24" s="26">
        <v>30</v>
      </c>
      <c r="I24" s="27"/>
      <c r="J24" s="28">
        <f>SUM(F24:I24)</f>
        <v>30</v>
      </c>
      <c r="K24" s="25" t="s">
        <v>37</v>
      </c>
    </row>
    <row r="25" spans="1:12" ht="30" customHeight="1" thickBot="1" x14ac:dyDescent="0.35">
      <c r="A25" s="47">
        <v>2</v>
      </c>
      <c r="B25" s="49" t="s">
        <v>30</v>
      </c>
      <c r="C25" s="29">
        <v>4</v>
      </c>
      <c r="D25" s="24" t="s">
        <v>24</v>
      </c>
      <c r="E25" s="23" t="s">
        <v>19</v>
      </c>
      <c r="F25" s="25"/>
      <c r="G25" s="26"/>
      <c r="H25" s="26">
        <v>20</v>
      </c>
      <c r="I25" s="27"/>
      <c r="J25" s="28">
        <f>SUM(F25:I25)</f>
        <v>20</v>
      </c>
      <c r="K25" s="65" t="s">
        <v>38</v>
      </c>
    </row>
    <row r="26" spans="1:12" ht="30" customHeight="1" thickBot="1" x14ac:dyDescent="0.35">
      <c r="A26" s="48">
        <v>3</v>
      </c>
      <c r="B26" s="49" t="s">
        <v>31</v>
      </c>
      <c r="C26" s="29">
        <v>5</v>
      </c>
      <c r="D26" s="24" t="s">
        <v>24</v>
      </c>
      <c r="E26" s="23" t="s">
        <v>32</v>
      </c>
      <c r="F26" s="25"/>
      <c r="G26" s="26"/>
      <c r="H26" s="26">
        <v>20</v>
      </c>
      <c r="I26" s="27"/>
      <c r="J26" s="28">
        <f>SUM(F26:I26)</f>
        <v>20</v>
      </c>
      <c r="K26" s="65" t="s">
        <v>40</v>
      </c>
    </row>
    <row r="27" spans="1:12" ht="30" customHeight="1" thickBot="1" x14ac:dyDescent="0.35">
      <c r="A27" s="22">
        <v>4</v>
      </c>
      <c r="B27" s="50" t="s">
        <v>34</v>
      </c>
      <c r="C27" s="29">
        <v>5</v>
      </c>
      <c r="D27" s="24" t="s">
        <v>24</v>
      </c>
      <c r="E27" s="23" t="s">
        <v>19</v>
      </c>
      <c r="F27" s="25"/>
      <c r="G27" s="26"/>
      <c r="H27" s="26">
        <v>5</v>
      </c>
      <c r="I27" s="27"/>
      <c r="J27" s="28">
        <f>SUM(F27:I27)</f>
        <v>5</v>
      </c>
      <c r="K27" s="65" t="s">
        <v>39</v>
      </c>
    </row>
    <row r="28" spans="1:12" ht="30" customHeight="1" thickBot="1" x14ac:dyDescent="0.35">
      <c r="A28" s="22">
        <v>5</v>
      </c>
      <c r="B28" s="50" t="s">
        <v>35</v>
      </c>
      <c r="C28" s="29">
        <v>5</v>
      </c>
      <c r="D28" s="24" t="s">
        <v>24</v>
      </c>
      <c r="E28" s="23" t="s">
        <v>32</v>
      </c>
      <c r="F28" s="25"/>
      <c r="G28" s="26"/>
      <c r="H28" s="26">
        <v>10</v>
      </c>
      <c r="I28" s="27"/>
      <c r="J28" s="28">
        <f>SUM(F28:I28)</f>
        <v>10</v>
      </c>
      <c r="K28" s="65" t="s">
        <v>39</v>
      </c>
    </row>
    <row r="29" spans="1:12" ht="30" customHeight="1" thickBot="1" x14ac:dyDescent="0.35">
      <c r="A29" s="22">
        <v>6</v>
      </c>
      <c r="B29" s="50" t="s">
        <v>36</v>
      </c>
      <c r="C29" s="29">
        <v>5</v>
      </c>
      <c r="D29" s="24" t="s">
        <v>24</v>
      </c>
      <c r="E29" s="23" t="s">
        <v>32</v>
      </c>
      <c r="F29" s="25"/>
      <c r="G29" s="26"/>
      <c r="H29" s="26">
        <v>15</v>
      </c>
      <c r="I29" s="27"/>
      <c r="J29" s="28">
        <f t="shared" ref="J29" si="6">SUM(F29:I29)</f>
        <v>15</v>
      </c>
      <c r="K29" s="65" t="s">
        <v>39</v>
      </c>
    </row>
    <row r="30" spans="1:12" ht="30" customHeight="1" thickBot="1" x14ac:dyDescent="0.35">
      <c r="A30" s="71" t="s">
        <v>20</v>
      </c>
      <c r="B30" s="72"/>
      <c r="C30" s="72"/>
      <c r="D30" s="72"/>
      <c r="E30" s="73"/>
      <c r="F30" s="7">
        <f>SUM(F16:F29)</f>
        <v>0</v>
      </c>
      <c r="G30" s="30">
        <f>SUM(G16:G29)</f>
        <v>0</v>
      </c>
      <c r="H30" s="30">
        <f>SUM(H24:H29)</f>
        <v>100</v>
      </c>
      <c r="I30" s="54">
        <f>SUM(I16:I29)</f>
        <v>0</v>
      </c>
      <c r="J30" s="56">
        <f>SUM(F30:I30)</f>
        <v>100</v>
      </c>
      <c r="K30" s="55"/>
    </row>
  </sheetData>
  <autoFilter ref="A4:J22" xr:uid="{00000000-0009-0000-0000-000000000000}">
    <filterColumn colId="0" showButton="0"/>
    <filterColumn colId="5" showButton="0"/>
    <filterColumn colId="6" showButton="0"/>
    <filterColumn colId="7" showButton="0"/>
  </autoFilter>
  <mergeCells count="22">
    <mergeCell ref="A30:E30"/>
    <mergeCell ref="A1:K1"/>
    <mergeCell ref="A2:B2"/>
    <mergeCell ref="F2:I2"/>
    <mergeCell ref="A3:B3"/>
    <mergeCell ref="F3:J3"/>
    <mergeCell ref="A4:B4"/>
    <mergeCell ref="F4:I4"/>
    <mergeCell ref="J4:J5"/>
    <mergeCell ref="K4:K5"/>
    <mergeCell ref="A5:B9"/>
    <mergeCell ref="C5:C9"/>
    <mergeCell ref="D5:D9"/>
    <mergeCell ref="E5:E9"/>
    <mergeCell ref="F5:I5"/>
    <mergeCell ref="J6:J8"/>
    <mergeCell ref="K6:K8"/>
    <mergeCell ref="A22:E22"/>
    <mergeCell ref="F6:F8"/>
    <mergeCell ref="G6:G8"/>
    <mergeCell ref="H6:H8"/>
    <mergeCell ref="I6:I8"/>
  </mergeCells>
  <pageMargins left="0.7" right="0.7" top="0.75" bottom="0.75" header="0.3" footer="0.3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C7ED9EE09504F8283D8C14A68775D" ma:contentTypeVersion="18" ma:contentTypeDescription="Een nieuw document maken." ma:contentTypeScope="" ma:versionID="fad734a5c001639ae4c4c61a00bd1b25">
  <xsd:schema xmlns:xsd="http://www.w3.org/2001/XMLSchema" xmlns:xs="http://www.w3.org/2001/XMLSchema" xmlns:p="http://schemas.microsoft.com/office/2006/metadata/properties" xmlns:ns2="320b15cb-67e9-4345-bf9f-3e28f97ecef6" xmlns:ns3="7d0d8591-699a-45dd-9b52-fcc90d98d6d3" xmlns:ns4="d11bdb94-d558-4ffe-a4b0-092cbde21480" targetNamespace="http://schemas.microsoft.com/office/2006/metadata/properties" ma:root="true" ma:fieldsID="3b79aae65cac7cc5819550fe5078f45c" ns2:_="" ns3:_="" ns4:_="">
    <xsd:import namespace="320b15cb-67e9-4345-bf9f-3e28f97ecef6"/>
    <xsd:import namespace="7d0d8591-699a-45dd-9b52-fcc90d98d6d3"/>
    <xsd:import namespace="d11bdb94-d558-4ffe-a4b0-092cbde21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b15cb-67e9-4345-bf9f-3e28f97ec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d8591-699a-45dd-9b52-fcc90d98d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bdb94-d558-4ffe-a4b0-092cbde2148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e3a131d-0111-460e-9216-d4f5a1d6fb27}" ma:internalName="TaxCatchAll" ma:showField="CatchAllData" ma:web="7d0d8591-699a-45dd-9b52-fcc90d98d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0b15cb-67e9-4345-bf9f-3e28f97ecef6">
      <Terms xmlns="http://schemas.microsoft.com/office/infopath/2007/PartnerControls"/>
    </lcf76f155ced4ddcb4097134ff3c332f>
    <TaxCatchAll xmlns="d11bdb94-d558-4ffe-a4b0-092cbde21480" xsi:nil="true"/>
    <SharedWithUsers xmlns="7d0d8591-699a-45dd-9b52-fcc90d98d6d3">
      <UserInfo>
        <DisplayName>René Vogels</DisplayName>
        <AccountId>46</AccountId>
        <AccountType/>
      </UserInfo>
      <UserInfo>
        <DisplayName>Onur Tezel</DisplayName>
        <AccountId>118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D153989-B56A-476B-A137-01F0CB453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0b15cb-67e9-4345-bf9f-3e28f97ecef6"/>
    <ds:schemaRef ds:uri="7d0d8591-699a-45dd-9b52-fcc90d98d6d3"/>
    <ds:schemaRef ds:uri="d11bdb94-d558-4ffe-a4b0-092cbde214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D1453-B71D-439B-B619-6AAFA249FC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43624F-85A8-474F-A791-B730618ECF77}">
  <ds:schemaRefs>
    <ds:schemaRef ds:uri="http://schemas.microsoft.com/office/2006/metadata/properties"/>
    <ds:schemaRef ds:uri="http://schemas.microsoft.com/office/infopath/2007/PartnerControls"/>
    <ds:schemaRef ds:uri="320b15cb-67e9-4345-bf9f-3e28f97ecef6"/>
    <ds:schemaRef ds:uri="d11bdb94-d558-4ffe-a4b0-092cbde21480"/>
    <ds:schemaRef ds:uri="7d0d8591-699a-45dd-9b52-fcc90d98d6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Toetsmatrijs</vt:lpstr>
    </vt:vector>
  </TitlesOfParts>
  <Manager/>
  <Company>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Ubert, T.</dc:creator>
  <cp:keywords/>
  <dc:description/>
  <cp:lastModifiedBy>Onur Tezel</cp:lastModifiedBy>
  <cp:revision/>
  <dcterms:created xsi:type="dcterms:W3CDTF">2012-04-11T08:38:12Z</dcterms:created>
  <dcterms:modified xsi:type="dcterms:W3CDTF">2026-03-26T10:39:42Z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0x010100646C7ED9EE09504F8283D8C14A68775D</vt:lpwstr>
  </property>
  <property fmtid="{D5CDD505-2E9C-101B-9397-08002B2CF9AE}" pid="3" name="MediaServiceImageTags">
    <vt:lpwstr/>
  </property>
</Properties>
</file>